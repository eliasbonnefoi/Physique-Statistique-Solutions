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liasbonnefoi/Documents/Ecole/00 - Supérieur/04 - ESPCI/1A/02 - Matières Scientifiques/02 - S2/02 - PSA/02 - TP/03 - Solutions/BONNEFOI CLAVIER/Partie 2 suivi photo/"/>
    </mc:Choice>
  </mc:AlternateContent>
  <xr:revisionPtr revIDLastSave="0" documentId="13_ncr:1_{6FF1EFAF-A2BC-464C-88A0-7F96B4AF9991}" xr6:coauthVersionLast="47" xr6:coauthVersionMax="47" xr10:uidLastSave="{00000000-0000-0000-0000-000000000000}"/>
  <bookViews>
    <workbookView xWindow="680" yWindow="660" windowWidth="28040" windowHeight="17160" xr2:uid="{3289B340-33B0-D74B-A3D3-F1973C8EE152}"/>
  </bookViews>
  <sheets>
    <sheet name="Results full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9" i="1" l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2" i="1"/>
</calcChain>
</file>

<file path=xl/sharedStrings.xml><?xml version="1.0" encoding="utf-8"?>
<sst xmlns="http://schemas.openxmlformats.org/spreadsheetml/2006/main" count="22" uniqueCount="11">
  <si>
    <t>Area</t>
  </si>
  <si>
    <t>Perim.</t>
  </si>
  <si>
    <t>Slice</t>
  </si>
  <si>
    <t>0.000</t>
  </si>
  <si>
    <t>5984.734</t>
  </si>
  <si>
    <t>5876.350</t>
  </si>
  <si>
    <t>5456.946</t>
  </si>
  <si>
    <t>148 pixels = 200 micro m</t>
  </si>
  <si>
    <t xml:space="preserve">Aire </t>
  </si>
  <si>
    <t>Rayon (approx pi R^2)</t>
  </si>
  <si>
    <t>Rayon moyen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</si>
</sst>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/>
        <bgColor indexed="64"/>
      </patternFill>
    </fill>
    <fill>
      <patternFill patternType="solid">
        <fgColor theme="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33" borderId="0" xfId="0" applyFill="1"/>
    <xf numFmtId="0" fontId="0" fillId="34" borderId="0" xfId="0" applyFill="1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85B69A-2FD3-DF4F-B94F-4B7E5F042570}">
  <dimension ref="B1:J19"/>
  <sheetViews>
    <sheetView tabSelected="1" workbookViewId="0">
      <selection activeCell="H5" sqref="H5"/>
    </sheetView>
  </sheetViews>
  <sheetFormatPr baseColWidth="10" defaultRowHeight="16" x14ac:dyDescent="0.2"/>
  <cols>
    <col min="5" max="6" width="12.1640625" bestFit="1" customWidth="1"/>
  </cols>
  <sheetData>
    <row r="1" spans="2:10" x14ac:dyDescent="0.2">
      <c r="B1" s="2" t="s">
        <v>0</v>
      </c>
      <c r="C1" s="2" t="s">
        <v>1</v>
      </c>
      <c r="D1" s="2" t="s">
        <v>2</v>
      </c>
      <c r="E1" s="2" t="s">
        <v>8</v>
      </c>
      <c r="F1" s="2" t="s">
        <v>9</v>
      </c>
      <c r="J1" t="s">
        <v>7</v>
      </c>
    </row>
    <row r="2" spans="2:10" x14ac:dyDescent="0.2">
      <c r="B2">
        <v>2641026</v>
      </c>
      <c r="C2" t="s">
        <v>3</v>
      </c>
      <c r="D2">
        <v>3</v>
      </c>
      <c r="E2">
        <f>B2*(200*10^(-6)/148)^2</f>
        <v>4.8229108838568295E-6</v>
      </c>
      <c r="F2">
        <f>SQRT(E2/PI())</f>
        <v>1.2390238958611868E-3</v>
      </c>
    </row>
    <row r="3" spans="2:10" x14ac:dyDescent="0.2">
      <c r="B3">
        <v>2574471</v>
      </c>
      <c r="C3" t="s">
        <v>3</v>
      </c>
      <c r="D3">
        <v>4</v>
      </c>
      <c r="E3">
        <f t="shared" ref="E3:E16" si="0">B3*(200*10^(-6)/148)^2</f>
        <v>4.7013714390065737E-6</v>
      </c>
      <c r="F3">
        <f t="shared" ref="F3:F16" si="1">SQRT(E3/PI())</f>
        <v>1.2233123099429299E-3</v>
      </c>
    </row>
    <row r="4" spans="2:10" x14ac:dyDescent="0.2">
      <c r="B4">
        <v>2531339</v>
      </c>
      <c r="C4" t="s">
        <v>3</v>
      </c>
      <c r="D4">
        <v>5</v>
      </c>
      <c r="E4">
        <f t="shared" si="0"/>
        <v>4.6226059167275381E-6</v>
      </c>
      <c r="F4">
        <f t="shared" si="1"/>
        <v>1.2130215015514192E-3</v>
      </c>
    </row>
    <row r="5" spans="2:10" x14ac:dyDescent="0.2">
      <c r="B5">
        <v>2520623</v>
      </c>
      <c r="C5" t="s">
        <v>3</v>
      </c>
      <c r="D5">
        <v>6</v>
      </c>
      <c r="E5">
        <f t="shared" si="0"/>
        <v>4.6030368882395907E-6</v>
      </c>
      <c r="F5">
        <f t="shared" si="1"/>
        <v>1.2104512166937313E-3</v>
      </c>
    </row>
    <row r="6" spans="2:10" x14ac:dyDescent="0.2">
      <c r="B6">
        <v>2490834</v>
      </c>
      <c r="C6" t="s">
        <v>3</v>
      </c>
      <c r="D6">
        <v>7</v>
      </c>
      <c r="E6">
        <f t="shared" si="0"/>
        <v>4.5486376917457994E-6</v>
      </c>
      <c r="F6">
        <f t="shared" si="1"/>
        <v>1.2032773354264204E-3</v>
      </c>
    </row>
    <row r="7" spans="2:10" x14ac:dyDescent="0.2">
      <c r="B7">
        <v>2466969</v>
      </c>
      <c r="C7" t="s">
        <v>3</v>
      </c>
      <c r="D7">
        <v>8</v>
      </c>
      <c r="E7">
        <f t="shared" si="0"/>
        <v>4.5050566106647186E-6</v>
      </c>
      <c r="F7">
        <f t="shared" si="1"/>
        <v>1.1974990843387817E-3</v>
      </c>
    </row>
    <row r="8" spans="2:10" x14ac:dyDescent="0.2">
      <c r="B8">
        <v>2447791</v>
      </c>
      <c r="C8" t="s">
        <v>3</v>
      </c>
      <c r="D8">
        <v>9</v>
      </c>
      <c r="E8">
        <f t="shared" si="0"/>
        <v>4.4700346968590211E-6</v>
      </c>
      <c r="F8">
        <f t="shared" si="1"/>
        <v>1.1928353765691183E-3</v>
      </c>
    </row>
    <row r="9" spans="2:10" x14ac:dyDescent="0.2">
      <c r="B9">
        <v>2428296</v>
      </c>
      <c r="C9" t="s">
        <v>3</v>
      </c>
      <c r="D9">
        <v>10</v>
      </c>
      <c r="E9">
        <f t="shared" si="0"/>
        <v>4.4344338933528115E-6</v>
      </c>
      <c r="F9">
        <f t="shared" si="1"/>
        <v>1.1880758173966328E-3</v>
      </c>
    </row>
    <row r="10" spans="2:10" x14ac:dyDescent="0.2">
      <c r="B10">
        <v>2411440</v>
      </c>
      <c r="C10" t="s">
        <v>3</v>
      </c>
      <c r="D10">
        <v>11</v>
      </c>
      <c r="E10">
        <f t="shared" si="0"/>
        <v>4.4036523009495977E-6</v>
      </c>
      <c r="F10">
        <f t="shared" si="1"/>
        <v>1.1839451265613008E-3</v>
      </c>
    </row>
    <row r="11" spans="2:10" x14ac:dyDescent="0.2">
      <c r="B11">
        <v>2397848</v>
      </c>
      <c r="C11" t="s">
        <v>3</v>
      </c>
      <c r="D11">
        <v>12</v>
      </c>
      <c r="E11">
        <f t="shared" si="0"/>
        <v>4.378831263696128E-6</v>
      </c>
      <c r="F11">
        <f t="shared" si="1"/>
        <v>1.1806037782275385E-3</v>
      </c>
    </row>
    <row r="12" spans="2:10" x14ac:dyDescent="0.2">
      <c r="B12">
        <v>2383237</v>
      </c>
      <c r="C12" t="s">
        <v>3</v>
      </c>
      <c r="D12">
        <v>13</v>
      </c>
      <c r="E12">
        <f t="shared" si="0"/>
        <v>4.3521493791088385E-6</v>
      </c>
      <c r="F12">
        <f t="shared" si="1"/>
        <v>1.1770013481381359E-3</v>
      </c>
    </row>
    <row r="13" spans="2:10" x14ac:dyDescent="0.2">
      <c r="B13">
        <v>2358495</v>
      </c>
      <c r="C13" t="s">
        <v>3</v>
      </c>
      <c r="D13">
        <v>15</v>
      </c>
      <c r="E13">
        <f t="shared" si="0"/>
        <v>4.3069667640613579E-6</v>
      </c>
      <c r="F13">
        <f t="shared" si="1"/>
        <v>1.170875783533736E-3</v>
      </c>
    </row>
    <row r="14" spans="2:10" x14ac:dyDescent="0.2">
      <c r="B14">
        <v>2767671</v>
      </c>
      <c r="C14" t="s">
        <v>4</v>
      </c>
      <c r="D14">
        <v>1</v>
      </c>
      <c r="E14">
        <f t="shared" si="0"/>
        <v>5.0541837107377642E-6</v>
      </c>
      <c r="F14">
        <f t="shared" si="1"/>
        <v>1.2683834758135675E-3</v>
      </c>
    </row>
    <row r="15" spans="2:10" x14ac:dyDescent="0.2">
      <c r="B15">
        <v>2747633</v>
      </c>
      <c r="C15" t="s">
        <v>5</v>
      </c>
      <c r="D15">
        <v>2</v>
      </c>
      <c r="E15">
        <f t="shared" si="0"/>
        <v>5.0175913075237391E-6</v>
      </c>
      <c r="F15">
        <f t="shared" si="1"/>
        <v>1.2637835724579817E-3</v>
      </c>
    </row>
    <row r="16" spans="2:10" x14ac:dyDescent="0.2">
      <c r="B16">
        <v>2320724</v>
      </c>
      <c r="C16" t="s">
        <v>6</v>
      </c>
      <c r="D16">
        <v>14</v>
      </c>
      <c r="E16">
        <f t="shared" si="0"/>
        <v>4.2379912344777207E-6</v>
      </c>
      <c r="F16">
        <f t="shared" si="1"/>
        <v>1.1614622281824346E-3</v>
      </c>
    </row>
    <row r="19" spans="5:6" x14ac:dyDescent="0.2">
      <c r="E19" s="1" t="s">
        <v>10</v>
      </c>
      <c r="F19" s="1">
        <f>AVERAGE(F2:F16)</f>
        <v>1.2049034567129943E-3</v>
      </c>
    </row>
  </sheetData>
  <pageMargins left="0.78740157499999996" right="0.78740157499999996" top="0.984251969" bottom="0.984251969" header="0.4921259845" footer="0.492125984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Results full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Elias BONNEFOI MAUPATE</dc:creator>
  <cp:lastModifiedBy>Elias BONNEFOI MAUPATE</cp:lastModifiedBy>
  <dcterms:created xsi:type="dcterms:W3CDTF">2026-02-23T11:05:27Z</dcterms:created>
  <dcterms:modified xsi:type="dcterms:W3CDTF">2026-02-23T11:10:04Z</dcterms:modified>
</cp:coreProperties>
</file>