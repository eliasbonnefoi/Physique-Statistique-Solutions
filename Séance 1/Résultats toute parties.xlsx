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asbonnefoi/Documents/Ecole/00 - Supérieur/04 - ESPCI/1A/02 - Matières Scientifiques/02 - S2/02 - PSA/02 - TP/03 - Solutions/BONNEFOI CLAVIER/Séance 1/"/>
    </mc:Choice>
  </mc:AlternateContent>
  <xr:revisionPtr revIDLastSave="0" documentId="13_ncr:1_{0F190AB5-F1FB-144D-9CED-482642264517}" xr6:coauthVersionLast="47" xr6:coauthVersionMax="47" xr10:uidLastSave="{00000000-0000-0000-0000-000000000000}"/>
  <bookViews>
    <workbookView xWindow="1360" yWindow="780" windowWidth="28040" windowHeight="17160" activeTab="8" xr2:uid="{3289B340-33B0-D74B-A3D3-F1973C8EE152}"/>
  </bookViews>
  <sheets>
    <sheet name="Partie 2 suivi photo" sheetId="1" r:id="rId1"/>
    <sheet name="5 mM CaCl2" sheetId="2" r:id="rId2"/>
    <sheet name="10 mM CaCl2" sheetId="3" r:id="rId3"/>
    <sheet name="20 mM CaCl2" sheetId="4" r:id="rId4"/>
    <sheet name="30 mM CaCl2" sheetId="5" r:id="rId5"/>
    <sheet name="50 mM CaCl2" sheetId="6" r:id="rId6"/>
    <sheet name="50 mM NaCl" sheetId="7" r:id="rId7"/>
    <sheet name="Eau" sheetId="8" r:id="rId8"/>
    <sheet name="Mesure taille 50 mM CaCl2 initi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9" l="1"/>
  <c r="G2" i="9"/>
  <c r="F3" i="9"/>
  <c r="F4" i="9"/>
  <c r="F2" i="9"/>
  <c r="H2" i="8"/>
  <c r="G2" i="8"/>
  <c r="H2" i="7"/>
  <c r="G2" i="7"/>
  <c r="F3" i="7"/>
  <c r="F4" i="7"/>
  <c r="F2" i="7"/>
  <c r="H2" i="6"/>
  <c r="G2" i="6"/>
  <c r="F3" i="6"/>
  <c r="F4" i="6"/>
  <c r="F2" i="6"/>
  <c r="H2" i="5"/>
  <c r="G2" i="5"/>
  <c r="F3" i="5"/>
  <c r="F4" i="5"/>
  <c r="F2" i="5"/>
  <c r="H2" i="4"/>
  <c r="G2" i="4"/>
  <c r="H2" i="3"/>
  <c r="G2" i="3"/>
  <c r="H2" i="2"/>
  <c r="G2" i="2"/>
  <c r="F3" i="8"/>
  <c r="F4" i="8"/>
  <c r="F2" i="8"/>
  <c r="F3" i="4"/>
  <c r="F4" i="4"/>
  <c r="F2" i="4"/>
  <c r="F3" i="3"/>
  <c r="F4" i="3"/>
  <c r="F2" i="3"/>
  <c r="F3" i="2"/>
  <c r="F4" i="2"/>
  <c r="F2" i="2"/>
  <c r="F2" i="1"/>
  <c r="F19" i="1" s="1"/>
  <c r="E3" i="9"/>
  <c r="E4" i="9"/>
  <c r="E2" i="9"/>
  <c r="E3" i="8"/>
  <c r="E4" i="8"/>
  <c r="E2" i="8"/>
  <c r="E3" i="7"/>
  <c r="E4" i="7"/>
  <c r="E2" i="7"/>
  <c r="E3" i="6"/>
  <c r="E4" i="6"/>
  <c r="E2" i="6"/>
  <c r="E2" i="5"/>
  <c r="E4" i="5"/>
  <c r="E3" i="5"/>
  <c r="E3" i="4"/>
  <c r="E4" i="4"/>
  <c r="E2" i="4"/>
  <c r="E3" i="3"/>
  <c r="E4" i="3"/>
  <c r="E2" i="3"/>
  <c r="E3" i="2"/>
  <c r="E4" i="2"/>
  <c r="E2" i="2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<sst xmlns="http://schemas.openxmlformats.org/spreadsheetml/2006/main" count="84" uniqueCount="42">
  <si>
    <t>Area</t>
  </si>
  <si>
    <t>Perim.</t>
  </si>
  <si>
    <t>Slice</t>
  </si>
  <si>
    <t>0.000</t>
  </si>
  <si>
    <t>5984.734</t>
  </si>
  <si>
    <t>5876.350</t>
  </si>
  <si>
    <t>5456.946</t>
  </si>
  <si>
    <t>148 pixels = 200 micro m</t>
  </si>
  <si>
    <t xml:space="preserve">Aire </t>
  </si>
  <si>
    <t>Rayon (approx pi R^2)</t>
  </si>
  <si>
    <t>Rayon moyen</t>
  </si>
  <si>
    <t>5823.253</t>
  </si>
  <si>
    <t>5765.949</t>
  </si>
  <si>
    <t>5764.920</t>
  </si>
  <si>
    <t>5467.231</t>
  </si>
  <si>
    <t>5390.018</t>
  </si>
  <si>
    <t>5465.574</t>
  </si>
  <si>
    <t>5368.545</t>
  </si>
  <si>
    <t>5460.971</t>
  </si>
  <si>
    <t>5401.616</t>
  </si>
  <si>
    <t>5265.030</t>
  </si>
  <si>
    <t>5629.883</t>
  </si>
  <si>
    <t>5524.202</t>
  </si>
  <si>
    <t>5596.510</t>
  </si>
  <si>
    <t>5711.069</t>
  </si>
  <si>
    <t>5483.647</t>
  </si>
  <si>
    <t>7499.590</t>
  </si>
  <si>
    <t>7657.682</t>
  </si>
  <si>
    <t>7235.089</t>
  </si>
  <si>
    <t>6053.495</t>
  </si>
  <si>
    <t>5998.885</t>
  </si>
  <si>
    <t>5931.003</t>
  </si>
  <si>
    <t>5487.013</t>
  </si>
  <si>
    <t>5764.209</t>
  </si>
  <si>
    <t>5562.410</t>
  </si>
  <si>
    <t>Aire</t>
  </si>
  <si>
    <t>Rayon</t>
  </si>
  <si>
    <t>Taille</t>
  </si>
  <si>
    <t xml:space="preserve">Rayon moyen </t>
  </si>
  <si>
    <t>Ecart type</t>
  </si>
  <si>
    <t>Incertitude</t>
  </si>
  <si>
    <t xml:space="preserve">Rayon 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</si>
</sst>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19" fillId="0" borderId="0" xfId="0" applyFont="1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B69A-2FD3-DF4F-B94F-4B7E5F042570}">
  <dimension ref="B1:J19"/>
  <sheetViews>
    <sheetView workbookViewId="0">
      <selection activeCell="F3" sqref="F3"/>
    </sheetView>
  </sheetViews>
  <sheetFormatPr baseColWidth="10" defaultRowHeight="16" x14ac:dyDescent="0.2"/>
  <cols>
    <col min="5" max="6" width="12.1640625" bestFit="1" customWidth="1"/>
  </cols>
  <sheetData>
    <row r="1" spans="2:10" x14ac:dyDescent="0.2">
      <c r="B1" s="2" t="s">
        <v>0</v>
      </c>
      <c r="C1" s="2" t="s">
        <v>1</v>
      </c>
      <c r="D1" s="2" t="s">
        <v>2</v>
      </c>
      <c r="E1" s="2" t="s">
        <v>8</v>
      </c>
      <c r="F1" s="2" t="s">
        <v>9</v>
      </c>
      <c r="J1" t="s">
        <v>7</v>
      </c>
    </row>
    <row r="2" spans="2:10" x14ac:dyDescent="0.2">
      <c r="B2">
        <v>2641026</v>
      </c>
      <c r="C2" t="s">
        <v>3</v>
      </c>
      <c r="D2">
        <v>3</v>
      </c>
      <c r="E2">
        <f>B2*(200*10^(-6)/148)^2</f>
        <v>4.8229108838568295E-6</v>
      </c>
      <c r="F2">
        <f>SQRT(E2/PI())</f>
        <v>1.2390238958611868E-3</v>
      </c>
    </row>
    <row r="3" spans="2:10" x14ac:dyDescent="0.2">
      <c r="B3">
        <v>2574471</v>
      </c>
      <c r="C3" t="s">
        <v>3</v>
      </c>
      <c r="D3">
        <v>4</v>
      </c>
      <c r="E3">
        <f t="shared" ref="E3:E16" si="0">B3*(200*10^(-6)/148)^2</f>
        <v>4.7013714390065737E-6</v>
      </c>
      <c r="F3">
        <f t="shared" ref="F3:F16" si="1">SQRT(E3/PI())</f>
        <v>1.2233123099429299E-3</v>
      </c>
    </row>
    <row r="4" spans="2:10" x14ac:dyDescent="0.2">
      <c r="B4">
        <v>2531339</v>
      </c>
      <c r="C4" t="s">
        <v>3</v>
      </c>
      <c r="D4">
        <v>5</v>
      </c>
      <c r="E4">
        <f t="shared" si="0"/>
        <v>4.6226059167275381E-6</v>
      </c>
      <c r="F4">
        <f t="shared" si="1"/>
        <v>1.2130215015514192E-3</v>
      </c>
    </row>
    <row r="5" spans="2:10" x14ac:dyDescent="0.2">
      <c r="B5">
        <v>2520623</v>
      </c>
      <c r="C5" t="s">
        <v>3</v>
      </c>
      <c r="D5">
        <v>6</v>
      </c>
      <c r="E5">
        <f t="shared" si="0"/>
        <v>4.6030368882395907E-6</v>
      </c>
      <c r="F5">
        <f t="shared" si="1"/>
        <v>1.2104512166937313E-3</v>
      </c>
    </row>
    <row r="6" spans="2:10" x14ac:dyDescent="0.2">
      <c r="B6">
        <v>2490834</v>
      </c>
      <c r="C6" t="s">
        <v>3</v>
      </c>
      <c r="D6">
        <v>7</v>
      </c>
      <c r="E6">
        <f t="shared" si="0"/>
        <v>4.5486376917457994E-6</v>
      </c>
      <c r="F6">
        <f t="shared" si="1"/>
        <v>1.2032773354264204E-3</v>
      </c>
    </row>
    <row r="7" spans="2:10" x14ac:dyDescent="0.2">
      <c r="B7">
        <v>2466969</v>
      </c>
      <c r="C7" t="s">
        <v>3</v>
      </c>
      <c r="D7">
        <v>8</v>
      </c>
      <c r="E7">
        <f t="shared" si="0"/>
        <v>4.5050566106647186E-6</v>
      </c>
      <c r="F7">
        <f t="shared" si="1"/>
        <v>1.1974990843387817E-3</v>
      </c>
    </row>
    <row r="8" spans="2:10" x14ac:dyDescent="0.2">
      <c r="B8">
        <v>2447791</v>
      </c>
      <c r="C8" t="s">
        <v>3</v>
      </c>
      <c r="D8">
        <v>9</v>
      </c>
      <c r="E8">
        <f t="shared" si="0"/>
        <v>4.4700346968590211E-6</v>
      </c>
      <c r="F8">
        <f t="shared" si="1"/>
        <v>1.1928353765691183E-3</v>
      </c>
    </row>
    <row r="9" spans="2:10" x14ac:dyDescent="0.2">
      <c r="B9">
        <v>2428296</v>
      </c>
      <c r="C9" t="s">
        <v>3</v>
      </c>
      <c r="D9">
        <v>10</v>
      </c>
      <c r="E9">
        <f t="shared" si="0"/>
        <v>4.4344338933528115E-6</v>
      </c>
      <c r="F9">
        <f t="shared" si="1"/>
        <v>1.1880758173966328E-3</v>
      </c>
    </row>
    <row r="10" spans="2:10" x14ac:dyDescent="0.2">
      <c r="B10">
        <v>2411440</v>
      </c>
      <c r="C10" t="s">
        <v>3</v>
      </c>
      <c r="D10">
        <v>11</v>
      </c>
      <c r="E10">
        <f t="shared" si="0"/>
        <v>4.4036523009495977E-6</v>
      </c>
      <c r="F10">
        <f t="shared" si="1"/>
        <v>1.1839451265613008E-3</v>
      </c>
    </row>
    <row r="11" spans="2:10" x14ac:dyDescent="0.2">
      <c r="B11">
        <v>2397848</v>
      </c>
      <c r="C11" t="s">
        <v>3</v>
      </c>
      <c r="D11">
        <v>12</v>
      </c>
      <c r="E11">
        <f t="shared" si="0"/>
        <v>4.378831263696128E-6</v>
      </c>
      <c r="F11">
        <f t="shared" si="1"/>
        <v>1.1806037782275385E-3</v>
      </c>
    </row>
    <row r="12" spans="2:10" x14ac:dyDescent="0.2">
      <c r="B12">
        <v>2383237</v>
      </c>
      <c r="C12" t="s">
        <v>3</v>
      </c>
      <c r="D12">
        <v>13</v>
      </c>
      <c r="E12">
        <f t="shared" si="0"/>
        <v>4.3521493791088385E-6</v>
      </c>
      <c r="F12">
        <f t="shared" si="1"/>
        <v>1.1770013481381359E-3</v>
      </c>
    </row>
    <row r="13" spans="2:10" x14ac:dyDescent="0.2">
      <c r="B13">
        <v>2358495</v>
      </c>
      <c r="C13" t="s">
        <v>3</v>
      </c>
      <c r="D13">
        <v>15</v>
      </c>
      <c r="E13">
        <f t="shared" si="0"/>
        <v>4.3069667640613579E-6</v>
      </c>
      <c r="F13">
        <f t="shared" si="1"/>
        <v>1.170875783533736E-3</v>
      </c>
    </row>
    <row r="14" spans="2:10" x14ac:dyDescent="0.2">
      <c r="B14">
        <v>2767671</v>
      </c>
      <c r="C14" t="s">
        <v>4</v>
      </c>
      <c r="D14">
        <v>1</v>
      </c>
      <c r="E14">
        <f t="shared" si="0"/>
        <v>5.0541837107377642E-6</v>
      </c>
      <c r="F14">
        <f t="shared" si="1"/>
        <v>1.2683834758135675E-3</v>
      </c>
    </row>
    <row r="15" spans="2:10" x14ac:dyDescent="0.2">
      <c r="B15">
        <v>2747633</v>
      </c>
      <c r="C15" t="s">
        <v>5</v>
      </c>
      <c r="D15">
        <v>2</v>
      </c>
      <c r="E15">
        <f t="shared" si="0"/>
        <v>5.0175913075237391E-6</v>
      </c>
      <c r="F15">
        <f t="shared" si="1"/>
        <v>1.2637835724579817E-3</v>
      </c>
    </row>
    <row r="16" spans="2:10" x14ac:dyDescent="0.2">
      <c r="B16">
        <v>2320724</v>
      </c>
      <c r="C16" t="s">
        <v>6</v>
      </c>
      <c r="D16">
        <v>14</v>
      </c>
      <c r="E16">
        <f t="shared" si="0"/>
        <v>4.2379912344777207E-6</v>
      </c>
      <c r="F16">
        <f t="shared" si="1"/>
        <v>1.1614622281824346E-3</v>
      </c>
    </row>
    <row r="19" spans="5:6" x14ac:dyDescent="0.2">
      <c r="E19" s="1" t="s">
        <v>10</v>
      </c>
      <c r="F19" s="1">
        <f>AVERAGE(F2:F16)</f>
        <v>1.2049034567129943E-3</v>
      </c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36DFE-5D71-6B48-85C6-2DCD6F3EA8BF}">
  <dimension ref="A1:I4"/>
  <sheetViews>
    <sheetView workbookViewId="0">
      <selection activeCell="H2" sqref="H2"/>
    </sheetView>
  </sheetViews>
  <sheetFormatPr baseColWidth="10" defaultRowHeight="16" x14ac:dyDescent="0.2"/>
  <cols>
    <col min="5" max="5" width="12.1640625" bestFit="1" customWidth="1"/>
    <col min="8" max="8" width="12.1640625" bestFit="1" customWidth="1"/>
  </cols>
  <sheetData>
    <row r="1" spans="1:9" x14ac:dyDescent="0.2">
      <c r="A1" s="3"/>
      <c r="B1" s="3" t="s">
        <v>0</v>
      </c>
      <c r="C1" s="3" t="s">
        <v>1</v>
      </c>
      <c r="D1" s="3" t="s">
        <v>2</v>
      </c>
      <c r="E1" s="3" t="s">
        <v>35</v>
      </c>
      <c r="F1" s="3" t="s">
        <v>36</v>
      </c>
      <c r="G1" s="3" t="s">
        <v>38</v>
      </c>
      <c r="H1" s="3" t="s">
        <v>39</v>
      </c>
      <c r="I1" s="3"/>
    </row>
    <row r="2" spans="1:9" x14ac:dyDescent="0.2">
      <c r="A2" s="3">
        <v>1</v>
      </c>
      <c r="B2" s="4">
        <v>2282593</v>
      </c>
      <c r="C2" s="4" t="s">
        <v>11</v>
      </c>
      <c r="D2" s="4">
        <v>1</v>
      </c>
      <c r="E2">
        <f>B2*(200*10^(-6)/148)^2</f>
        <v>4.1683582907231551E-6</v>
      </c>
      <c r="F2">
        <f xml:space="preserve"> SQRT(E2/PI())</f>
        <v>1.1518809196671971E-3</v>
      </c>
      <c r="G2">
        <f>AVERAGE(F2:F4)</f>
        <v>1.1595554878692784E-3</v>
      </c>
      <c r="H2">
        <f>STDEV(F2:F4)</f>
        <v>6.7215194078859708E-6</v>
      </c>
    </row>
    <row r="3" spans="1:9" x14ac:dyDescent="0.2">
      <c r="A3" s="3">
        <v>2</v>
      </c>
      <c r="B3" s="4">
        <v>2324435</v>
      </c>
      <c r="C3" s="4" t="s">
        <v>12</v>
      </c>
      <c r="D3" s="4">
        <v>2</v>
      </c>
      <c r="E3">
        <f t="shared" ref="E3:E4" si="0">B3*(200*10^(-6)/148)^2</f>
        <v>4.2447680788896997E-6</v>
      </c>
      <c r="F3">
        <f t="shared" ref="F3:F4" si="1" xml:space="preserve"> SQRT(E3/PI())</f>
        <v>1.1623904869139149E-3</v>
      </c>
    </row>
    <row r="4" spans="1:9" x14ac:dyDescent="0.2">
      <c r="A4" s="3">
        <v>3</v>
      </c>
      <c r="B4" s="4">
        <v>2332459</v>
      </c>
      <c r="C4" s="4" t="s">
        <v>13</v>
      </c>
      <c r="D4" s="4">
        <v>3</v>
      </c>
      <c r="E4">
        <f t="shared" si="0"/>
        <v>4.2594211102994879E-6</v>
      </c>
      <c r="F4">
        <f t="shared" si="1"/>
        <v>1.1643950570267229E-3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15DB-ED80-D74F-8BB9-24817750195B}">
  <dimension ref="A1:H4"/>
  <sheetViews>
    <sheetView workbookViewId="0">
      <selection activeCell="H3" sqref="H3"/>
    </sheetView>
  </sheetViews>
  <sheetFormatPr baseColWidth="10" defaultRowHeight="16" x14ac:dyDescent="0.2"/>
  <cols>
    <col min="9" max="9" width="12.1640625" bestFit="1" customWidth="1"/>
  </cols>
  <sheetData>
    <row r="1" spans="1:8" x14ac:dyDescent="0.2">
      <c r="A1" s="3"/>
      <c r="B1" s="3" t="s">
        <v>0</v>
      </c>
      <c r="C1" s="3" t="s">
        <v>1</v>
      </c>
      <c r="D1" s="3" t="s">
        <v>2</v>
      </c>
      <c r="F1" s="3" t="s">
        <v>37</v>
      </c>
      <c r="G1" s="3" t="s">
        <v>41</v>
      </c>
      <c r="H1" s="3" t="s">
        <v>40</v>
      </c>
    </row>
    <row r="2" spans="1:8" x14ac:dyDescent="0.2">
      <c r="A2" s="3">
        <v>1</v>
      </c>
      <c r="B2" s="4">
        <v>2139996</v>
      </c>
      <c r="C2" s="4" t="s">
        <v>14</v>
      </c>
      <c r="D2" s="4">
        <v>1</v>
      </c>
      <c r="E2">
        <f>B2*(200*10^(-6)/148)^2</f>
        <v>3.9079547114682248E-6</v>
      </c>
      <c r="F2">
        <f xml:space="preserve"> SQRT(E2/PI())</f>
        <v>1.1153208594027366E-3</v>
      </c>
      <c r="G2">
        <f>AVERAGE(F2:F4)</f>
        <v>1.1087583213804642E-3</v>
      </c>
      <c r="H2">
        <f>STDEV(F2:F4)</f>
        <v>9.9850026907084231E-6</v>
      </c>
    </row>
    <row r="3" spans="1:8" x14ac:dyDescent="0.2">
      <c r="A3" s="3">
        <v>2</v>
      </c>
      <c r="B3" s="4">
        <v>2071277</v>
      </c>
      <c r="C3" s="4" t="s">
        <v>15</v>
      </c>
      <c r="D3" s="4">
        <v>2</v>
      </c>
      <c r="E3">
        <f t="shared" ref="E3:E4" si="0">B3*(200*10^(-6)/148)^2</f>
        <v>3.7824634769905037E-6</v>
      </c>
      <c r="F3">
        <f t="shared" ref="F3:F4" si="1" xml:space="preserve"> SQRT(E3/PI())</f>
        <v>1.0972672959927278E-3</v>
      </c>
    </row>
    <row r="4" spans="1:8" x14ac:dyDescent="0.2">
      <c r="A4" s="3">
        <v>3</v>
      </c>
      <c r="B4" s="4">
        <v>2133730</v>
      </c>
      <c r="C4" s="4" t="s">
        <v>16</v>
      </c>
      <c r="D4" s="4">
        <v>3</v>
      </c>
      <c r="E4">
        <f t="shared" si="0"/>
        <v>3.8965120525931331E-6</v>
      </c>
      <c r="F4">
        <f t="shared" si="1"/>
        <v>1.1136868087459279E-3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21BA-E311-984F-8106-FB3E3C7F60EC}">
  <dimension ref="A1:H4"/>
  <sheetViews>
    <sheetView workbookViewId="0">
      <selection activeCell="G2" sqref="G2"/>
    </sheetView>
  </sheetViews>
  <sheetFormatPr baseColWidth="10" defaultRowHeight="16" x14ac:dyDescent="0.2"/>
  <cols>
    <col min="8" max="8" width="12.1640625" bestFit="1" customWidth="1"/>
  </cols>
  <sheetData>
    <row r="1" spans="1:8" x14ac:dyDescent="0.2">
      <c r="A1" s="3"/>
      <c r="B1" s="3" t="s">
        <v>0</v>
      </c>
      <c r="C1" s="3" t="s">
        <v>1</v>
      </c>
      <c r="D1" s="3" t="s">
        <v>2</v>
      </c>
    </row>
    <row r="2" spans="1:8" x14ac:dyDescent="0.2">
      <c r="A2" s="3">
        <v>1</v>
      </c>
      <c r="B2" s="4">
        <v>1974513</v>
      </c>
      <c r="C2" s="4" t="s">
        <v>17</v>
      </c>
      <c r="D2" s="4">
        <v>1</v>
      </c>
      <c r="E2">
        <f>B2*(200*10^(-6)/148)^2</f>
        <v>3.6057578524470414E-6</v>
      </c>
      <c r="F2">
        <f>SQRT(E2/PI())</f>
        <v>1.0713301879526813E-3</v>
      </c>
      <c r="G2">
        <f>AVERAGE(F2:F4)</f>
        <v>1.0871276003902475E-3</v>
      </c>
      <c r="H2">
        <f>STDEV(F2:F4)</f>
        <v>1.3720225342988019E-5</v>
      </c>
    </row>
    <row r="3" spans="1:8" x14ac:dyDescent="0.2">
      <c r="A3" s="3">
        <v>2</v>
      </c>
      <c r="B3" s="4">
        <v>2058919</v>
      </c>
      <c r="C3" s="4" t="s">
        <v>18</v>
      </c>
      <c r="D3" s="4">
        <v>2</v>
      </c>
      <c r="E3">
        <f t="shared" ref="E3:E4" si="0">B3*(200*10^(-6)/148)^2</f>
        <v>3.7598959094229359E-6</v>
      </c>
      <c r="F3">
        <f t="shared" ref="F3:F4" si="1">SQRT(E3/PI())</f>
        <v>1.0939890488443269E-3</v>
      </c>
    </row>
    <row r="4" spans="1:8" x14ac:dyDescent="0.2">
      <c r="A4" s="3">
        <v>3</v>
      </c>
      <c r="B4" s="4">
        <v>2066735</v>
      </c>
      <c r="C4" s="4" t="s">
        <v>19</v>
      </c>
      <c r="D4" s="4">
        <v>3</v>
      </c>
      <c r="E4">
        <f t="shared" si="0"/>
        <v>3.774169101533966E-6</v>
      </c>
      <c r="F4">
        <f t="shared" si="1"/>
        <v>1.0960635643737348E-3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492A-8F71-8443-B6A1-EAC06A8FCA97}">
  <dimension ref="A1:H4"/>
  <sheetViews>
    <sheetView workbookViewId="0">
      <selection activeCell="G2" sqref="G2"/>
    </sheetView>
  </sheetViews>
  <sheetFormatPr baseColWidth="10" defaultRowHeight="16" x14ac:dyDescent="0.2"/>
  <cols>
    <col min="5" max="5" width="12.1640625" bestFit="1" customWidth="1"/>
    <col min="8" max="8" width="12.1640625" bestFit="1" customWidth="1"/>
  </cols>
  <sheetData>
    <row r="1" spans="1:8" x14ac:dyDescent="0.2">
      <c r="A1" s="3"/>
      <c r="B1" s="3" t="s">
        <v>0</v>
      </c>
      <c r="C1" s="3" t="s">
        <v>1</v>
      </c>
      <c r="D1" s="3" t="s">
        <v>2</v>
      </c>
      <c r="E1" s="3" t="s">
        <v>35</v>
      </c>
    </row>
    <row r="2" spans="1:8" x14ac:dyDescent="0.2">
      <c r="A2" s="3">
        <v>1</v>
      </c>
      <c r="B2" s="4">
        <v>1947029</v>
      </c>
      <c r="C2" s="4" t="s">
        <v>20</v>
      </c>
      <c r="D2" s="4">
        <v>1</v>
      </c>
      <c r="E2">
        <f>B2*(200*10^(-6)/148)^2</f>
        <v>3.555567932797662E-6</v>
      </c>
      <c r="F2">
        <f>SQRT(E2/PI())</f>
        <v>1.0638479327458223E-3</v>
      </c>
      <c r="G2">
        <f>AVERAGE(F2:F4)</f>
        <v>1.1115989284232529E-3</v>
      </c>
      <c r="H2">
        <f>STDEV(F2:F4)</f>
        <v>4.2366448502455831E-5</v>
      </c>
    </row>
    <row r="3" spans="1:8" x14ac:dyDescent="0.2">
      <c r="A3" s="3">
        <v>2</v>
      </c>
      <c r="B3" s="4">
        <v>2254155</v>
      </c>
      <c r="C3" s="4" t="s">
        <v>21</v>
      </c>
      <c r="D3" s="4">
        <v>2</v>
      </c>
      <c r="E3">
        <f>B3*(200*10^(-6)/148)^2</f>
        <v>4.1164262235208177E-6</v>
      </c>
      <c r="F3">
        <f t="shared" ref="F3:F4" si="0">SQRT(E3/PI())</f>
        <v>1.1446829965946392E-3</v>
      </c>
    </row>
    <row r="4" spans="1:8" x14ac:dyDescent="0.2">
      <c r="A4" s="3">
        <v>3</v>
      </c>
      <c r="B4" s="4">
        <v>2182203</v>
      </c>
      <c r="C4" s="4" t="s">
        <v>22</v>
      </c>
      <c r="D4" s="4">
        <v>3</v>
      </c>
      <c r="E4">
        <f t="shared" ref="E4" si="1">B4*(200*10^(-6)/148)^2</f>
        <v>3.9850310445580714E-6</v>
      </c>
      <c r="F4">
        <f t="shared" si="0"/>
        <v>1.126265855929297E-3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7C6F2-2DD1-564F-9584-B9044E931621}">
  <dimension ref="A1:H4"/>
  <sheetViews>
    <sheetView topLeftCell="B1" zoomScale="141" workbookViewId="0">
      <selection activeCell="G2" sqref="G2"/>
    </sheetView>
  </sheetViews>
  <sheetFormatPr baseColWidth="10" defaultRowHeight="16" x14ac:dyDescent="0.2"/>
  <cols>
    <col min="5" max="5" width="11.1640625" bestFit="1" customWidth="1"/>
    <col min="8" max="8" width="12.1640625" bestFit="1" customWidth="1"/>
  </cols>
  <sheetData>
    <row r="1" spans="1:8" x14ac:dyDescent="0.2">
      <c r="A1" s="3"/>
      <c r="B1" s="3" t="s">
        <v>0</v>
      </c>
      <c r="C1" s="3" t="s">
        <v>1</v>
      </c>
      <c r="D1" s="3" t="s">
        <v>2</v>
      </c>
      <c r="E1" s="3" t="s">
        <v>35</v>
      </c>
    </row>
    <row r="2" spans="1:8" x14ac:dyDescent="0.2">
      <c r="A2" s="3">
        <v>1</v>
      </c>
      <c r="B2" s="4">
        <v>2185634</v>
      </c>
      <c r="C2" s="4" t="s">
        <v>23</v>
      </c>
      <c r="D2" s="4">
        <v>1</v>
      </c>
      <c r="E2">
        <f>B2*(200*10^(-6)/148)^2</f>
        <v>3.9912965668371073E-6</v>
      </c>
      <c r="F2">
        <f>SQRT(E2/PI())</f>
        <v>1.127150902016085E-3</v>
      </c>
      <c r="G2">
        <f>AVERAGE(F2:F4)</f>
        <v>1.1113638344055292E-3</v>
      </c>
      <c r="H2">
        <f>STDEV(F2:F4)</f>
        <v>2.5876706171354954E-5</v>
      </c>
    </row>
    <row r="3" spans="1:8" x14ac:dyDescent="0.2">
      <c r="A3" s="3">
        <v>2</v>
      </c>
      <c r="B3" s="4">
        <v>2179005</v>
      </c>
      <c r="C3" s="4" t="s">
        <v>24</v>
      </c>
      <c r="D3" s="4">
        <v>2</v>
      </c>
      <c r="E3">
        <f t="shared" ref="E3:E4" si="0">B3*(200*10^(-6)/148)^2</f>
        <v>3.9791910153396637E-6</v>
      </c>
      <c r="F3">
        <f t="shared" ref="F3:F4" si="1">SQRT(E3/PI())</f>
        <v>1.1254402868194878E-3</v>
      </c>
    </row>
    <row r="4" spans="1:8" x14ac:dyDescent="0.2">
      <c r="A4" s="3">
        <v>3</v>
      </c>
      <c r="B4" s="4">
        <v>2012179</v>
      </c>
      <c r="C4" s="4" t="s">
        <v>25</v>
      </c>
      <c r="D4" s="4">
        <v>3</v>
      </c>
      <c r="E4">
        <f t="shared" si="0"/>
        <v>3.6745416362308249E-6</v>
      </c>
      <c r="F4">
        <f t="shared" si="1"/>
        <v>1.0815003143810147E-3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C12F-BEEC-5043-A80C-A011CAECB09E}">
  <dimension ref="A1:H4"/>
  <sheetViews>
    <sheetView workbookViewId="0">
      <selection activeCell="G2" sqref="G2"/>
    </sheetView>
  </sheetViews>
  <sheetFormatPr baseColWidth="10" defaultRowHeight="16" x14ac:dyDescent="0.2"/>
  <cols>
    <col min="5" max="5" width="12.1640625" bestFit="1" customWidth="1"/>
    <col min="8" max="8" width="12.1640625" bestFit="1" customWidth="1"/>
  </cols>
  <sheetData>
    <row r="1" spans="1:8" x14ac:dyDescent="0.2">
      <c r="A1" s="3"/>
      <c r="B1" s="3" t="s">
        <v>0</v>
      </c>
      <c r="C1" s="3" t="s">
        <v>1</v>
      </c>
      <c r="D1" s="3" t="s">
        <v>2</v>
      </c>
      <c r="E1" s="3" t="s">
        <v>35</v>
      </c>
    </row>
    <row r="2" spans="1:8" x14ac:dyDescent="0.2">
      <c r="A2" s="3">
        <v>1</v>
      </c>
      <c r="B2" s="4">
        <v>3644994</v>
      </c>
      <c r="C2" s="4" t="s">
        <v>26</v>
      </c>
      <c r="D2" s="4">
        <v>1</v>
      </c>
      <c r="E2">
        <f>B2*(200*10^(-6)/148)^2</f>
        <v>6.6563075237399557E-6</v>
      </c>
      <c r="F2">
        <f>SQRT(E2/PI())</f>
        <v>1.4555990142501385E-3</v>
      </c>
      <c r="G2">
        <f>AVERAGE(F2:F4)</f>
        <v>1.4582809373807095E-3</v>
      </c>
      <c r="H2">
        <f>STDEV(F2:F4)</f>
        <v>1.9081344802806779E-5</v>
      </c>
    </row>
    <row r="3" spans="1:8" x14ac:dyDescent="0.2">
      <c r="A3" s="3">
        <v>2</v>
      </c>
      <c r="B3" s="4">
        <v>3760902</v>
      </c>
      <c r="C3" s="4" t="s">
        <v>27</v>
      </c>
      <c r="D3" s="4">
        <v>2</v>
      </c>
      <c r="E3">
        <f t="shared" ref="E3:E4" si="0">B3*(200*10^(-6)/148)^2</f>
        <v>6.8679729729729723E-6</v>
      </c>
      <c r="F3">
        <f t="shared" ref="F3:F4" si="1">SQRT(E3/PI())</f>
        <v>1.4785613600187099E-3</v>
      </c>
    </row>
    <row r="4" spans="1:8" x14ac:dyDescent="0.2">
      <c r="A4" s="3">
        <v>3</v>
      </c>
      <c r="B4" s="4">
        <v>3570671</v>
      </c>
      <c r="C4" s="4" t="s">
        <v>28</v>
      </c>
      <c r="D4" s="4">
        <v>3</v>
      </c>
      <c r="E4">
        <f t="shared" si="0"/>
        <v>6.5205825420014606E-6</v>
      </c>
      <c r="F4">
        <f t="shared" si="1"/>
        <v>1.4406824378732802E-3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33E3B-4973-214C-B782-56CCC65AF035}">
  <dimension ref="A1:H4"/>
  <sheetViews>
    <sheetView workbookViewId="0">
      <selection activeCell="G2" sqref="G2"/>
    </sheetView>
  </sheetViews>
  <sheetFormatPr baseColWidth="10" defaultRowHeight="16" x14ac:dyDescent="0.2"/>
  <cols>
    <col min="5" max="5" width="12.1640625" bestFit="1" customWidth="1"/>
    <col min="8" max="8" width="12.1640625" bestFit="1" customWidth="1"/>
  </cols>
  <sheetData>
    <row r="1" spans="1:8" x14ac:dyDescent="0.2">
      <c r="A1" s="3"/>
      <c r="B1" s="3" t="s">
        <v>0</v>
      </c>
      <c r="C1" s="3" t="s">
        <v>1</v>
      </c>
      <c r="D1" s="3" t="s">
        <v>2</v>
      </c>
      <c r="E1" s="3" t="s">
        <v>35</v>
      </c>
      <c r="F1" s="3" t="s">
        <v>36</v>
      </c>
    </row>
    <row r="2" spans="1:8" x14ac:dyDescent="0.2">
      <c r="A2" s="3">
        <v>1</v>
      </c>
      <c r="B2" s="4">
        <v>2505219</v>
      </c>
      <c r="C2" s="4" t="s">
        <v>29</v>
      </c>
      <c r="D2" s="4">
        <v>1</v>
      </c>
      <c r="E2">
        <f>B2*(200*10^(-6)/148)^2</f>
        <v>4.5749068663257851E-6</v>
      </c>
      <c r="F2">
        <f>SQRT(E2/PI())</f>
        <v>1.2067469013515646E-3</v>
      </c>
      <c r="G2">
        <f>AVERAGE(F2:F4)</f>
        <v>1.2102796412039032E-3</v>
      </c>
      <c r="H2">
        <f>STDEV(F2:F4)</f>
        <v>7.4616443385231169E-6</v>
      </c>
    </row>
    <row r="3" spans="1:8" x14ac:dyDescent="0.2">
      <c r="A3" s="3">
        <v>2</v>
      </c>
      <c r="B3" s="4">
        <v>2555730</v>
      </c>
      <c r="C3" s="4" t="s">
        <v>30</v>
      </c>
      <c r="D3" s="4">
        <v>2</v>
      </c>
      <c r="E3">
        <f t="shared" ref="E3:E4" si="0">B3*(200*10^(-6)/148)^2</f>
        <v>4.667147552958363E-6</v>
      </c>
      <c r="F3">
        <f t="shared" ref="F3:F4" si="1">SQRT(E3/PI())</f>
        <v>1.2188515932570025E-3</v>
      </c>
    </row>
    <row r="4" spans="1:8" x14ac:dyDescent="0.2">
      <c r="A4" s="3">
        <v>3</v>
      </c>
      <c r="B4" s="4">
        <v>2498968</v>
      </c>
      <c r="C4" s="4" t="s">
        <v>31</v>
      </c>
      <c r="D4" s="4">
        <v>3</v>
      </c>
      <c r="E4">
        <f t="shared" si="0"/>
        <v>4.5634915997078156E-6</v>
      </c>
      <c r="F4">
        <f t="shared" si="1"/>
        <v>1.2052404290031427E-3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BADCB-2334-174D-8336-BEBB2161DBF3}">
  <dimension ref="A1:H4"/>
  <sheetViews>
    <sheetView tabSelected="1" workbookViewId="0">
      <selection activeCell="H3" sqref="H3"/>
    </sheetView>
  </sheetViews>
  <sheetFormatPr baseColWidth="10" defaultRowHeight="16" x14ac:dyDescent="0.2"/>
  <cols>
    <col min="5" max="5" width="11.1640625" bestFit="1" customWidth="1"/>
    <col min="8" max="8" width="12.1640625" bestFit="1" customWidth="1"/>
  </cols>
  <sheetData>
    <row r="1" spans="1:8" x14ac:dyDescent="0.2">
      <c r="A1" s="3"/>
      <c r="B1" s="3" t="s">
        <v>0</v>
      </c>
      <c r="C1" s="3" t="s">
        <v>1</v>
      </c>
      <c r="D1" s="3" t="s">
        <v>2</v>
      </c>
      <c r="E1" s="3" t="s">
        <v>35</v>
      </c>
      <c r="F1" s="3" t="s">
        <v>36</v>
      </c>
    </row>
    <row r="2" spans="1:8" x14ac:dyDescent="0.2">
      <c r="A2" s="3">
        <v>1</v>
      </c>
      <c r="B2" s="4">
        <v>2127589</v>
      </c>
      <c r="C2" s="4" t="s">
        <v>32</v>
      </c>
      <c r="D2" s="4">
        <v>1</v>
      </c>
      <c r="E2">
        <f>B2*(200*10^(-6)/148)^2</f>
        <v>3.8852976625273916E-6</v>
      </c>
      <c r="F2">
        <f>SQRT(E2/PI())</f>
        <v>1.1120830260143539E-3</v>
      </c>
      <c r="G2">
        <f>AVERAGE(F2:F4)</f>
        <v>1.1396228239159091E-3</v>
      </c>
      <c r="H2">
        <f>STDEV(F2:F4)</f>
        <v>3.1333459702676329E-5</v>
      </c>
    </row>
    <row r="3" spans="1:8" x14ac:dyDescent="0.2">
      <c r="A3" s="3">
        <v>2</v>
      </c>
      <c r="B3" s="4">
        <v>2369943</v>
      </c>
      <c r="C3" s="4" t="s">
        <v>33</v>
      </c>
      <c r="D3" s="4">
        <v>2</v>
      </c>
      <c r="E3">
        <f t="shared" ref="E3:E4" si="0">B3*(200*10^(-6)/148)^2</f>
        <v>4.3278725346968584E-6</v>
      </c>
      <c r="F3">
        <f t="shared" ref="F3:F4" si="1">SQRT(E3/PI())</f>
        <v>1.1737140256200872E-3</v>
      </c>
    </row>
    <row r="4" spans="1:8" x14ac:dyDescent="0.2">
      <c r="A4" s="3">
        <v>3</v>
      </c>
      <c r="B4" s="4">
        <v>2208655</v>
      </c>
      <c r="C4" s="4" t="s">
        <v>34</v>
      </c>
      <c r="D4" s="4">
        <v>3</v>
      </c>
      <c r="E4">
        <f t="shared" si="0"/>
        <v>4.0333363769174576E-6</v>
      </c>
      <c r="F4">
        <f t="shared" si="1"/>
        <v>1.133071420113286E-3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Partie 2 suivi photo</vt:lpstr>
      <vt:lpstr>5 mM CaCl2</vt:lpstr>
      <vt:lpstr>10 mM CaCl2</vt:lpstr>
      <vt:lpstr>20 mM CaCl2</vt:lpstr>
      <vt:lpstr>30 mM CaCl2</vt:lpstr>
      <vt:lpstr>50 mM CaCl2</vt:lpstr>
      <vt:lpstr>50 mM NaCl</vt:lpstr>
      <vt:lpstr>Eau</vt:lpstr>
      <vt:lpstr>Mesure taille 50 mM CaCl2 initi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BONNEFOI MAUPATE</dc:creator>
  <cp:lastModifiedBy>Elias BONNEFOI MAUPATE</cp:lastModifiedBy>
  <dcterms:created xsi:type="dcterms:W3CDTF">2026-02-23T11:05:27Z</dcterms:created>
  <dcterms:modified xsi:type="dcterms:W3CDTF">2026-03-10T20:50:50Z</dcterms:modified>
</cp:coreProperties>
</file>